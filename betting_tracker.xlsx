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Bet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etting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%"/>
  </numFmts>
  <fonts count="7">
    <font>
      <name val="Calibri"/>
      <family val="2"/>
      <color theme="1"/>
      <sz val="11"/>
      <scheme val="minor"/>
    </font>
    <font>
      <name val="Calibri"/>
      <family val="2"/>
      <color theme="1"/>
      <sz val="14"/>
    </font>
    <font>
      <name val="Calibri"/>
      <family val="2"/>
      <color theme="1"/>
      <sz val="11"/>
    </font>
    <font>
      <name val="Calibri"/>
      <family val="2"/>
      <color theme="1"/>
      <sz val="11"/>
    </font>
    <font>
      <name val="Calibri"/>
      <family val="2"/>
      <color theme="1"/>
      <sz val="12"/>
    </font>
    <font>
      <name val="Calibri"/>
      <family val="2"/>
      <color rgb="FF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4472c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1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2" fillId="0" borderId="1" applyAlignment="1" pivotButton="0" quotePrefix="0" xfId="0">
      <alignment horizontal="left"/>
    </xf>
    <xf numFmtId="3" fontId="2" fillId="0" borderId="1" applyAlignment="1" pivotButton="0" quotePrefix="0" xfId="0">
      <alignment horizontal="left"/>
    </xf>
    <xf numFmtId="3" fontId="3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0" fontId="4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164" fontId="3" fillId="0" borderId="1" applyAlignment="1" pivotButton="0" quotePrefix="0" xfId="0">
      <alignment horizontal="right"/>
    </xf>
    <xf numFmtId="0" fontId="5" fillId="2" borderId="2" applyAlignment="1" pivotButton="0" quotePrefix="0" xfId="0">
      <alignment horizontal="center"/>
    </xf>
    <xf numFmtId="3" fontId="5" fillId="2" borderId="2" applyAlignment="1" pivotButton="0" quotePrefix="0" xfId="0">
      <alignment horizontal="center"/>
    </xf>
    <xf numFmtId="4" fontId="0" fillId="0" borderId="0" applyAlignment="1" pivotButton="0" quotePrefix="0" xfId="0">
      <alignment horizontal="general"/>
    </xf>
    <xf numFmtId="0" fontId="6" fillId="0" borderId="3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1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game_date</t>
        </is>
      </c>
      <c r="B1" s="16" t="inlineStr">
        <is>
          <t>game_id</t>
        </is>
      </c>
      <c r="C1" s="16" t="inlineStr">
        <is>
          <t>goalie_name</t>
        </is>
      </c>
      <c r="D1" s="16" t="inlineStr">
        <is>
          <t>goalie_id</t>
        </is>
      </c>
      <c r="E1" s="16" t="inlineStr">
        <is>
          <t>team_abbrev</t>
        </is>
      </c>
      <c r="F1" s="16" t="inlineStr">
        <is>
          <t>opponent_team</t>
        </is>
      </c>
      <c r="G1" s="16" t="inlineStr">
        <is>
          <t>is_home</t>
        </is>
      </c>
      <c r="H1" s="16" t="inlineStr">
        <is>
          <t>betting_line</t>
        </is>
      </c>
      <c r="I1" s="16" t="inlineStr">
        <is>
          <t>predicted_saves</t>
        </is>
      </c>
      <c r="J1" s="16" t="inlineStr">
        <is>
          <t>prob_over</t>
        </is>
      </c>
      <c r="K1" s="16" t="inlineStr">
        <is>
          <t>confidence_pct</t>
        </is>
      </c>
      <c r="L1" s="16" t="inlineStr">
        <is>
          <t>confidence_bucket</t>
        </is>
      </c>
      <c r="M1" s="16" t="inlineStr">
        <is>
          <t>recommendation</t>
        </is>
      </c>
      <c r="N1" s="16" t="inlineStr">
        <is>
          <t>bet_amount</t>
        </is>
      </c>
      <c r="O1" s="16" t="inlineStr">
        <is>
          <t>bet_selection</t>
        </is>
      </c>
      <c r="P1" s="16" t="inlineStr">
        <is>
          <t>actual_saves</t>
        </is>
      </c>
      <c r="Q1" s="16" t="inlineStr">
        <is>
          <t>result</t>
        </is>
      </c>
      <c r="R1" s="16" t="inlineStr">
        <is>
          <t>profit_loss</t>
        </is>
      </c>
      <c r="S1" s="16" t="inlineStr">
        <is>
          <t>notes</t>
        </is>
      </c>
    </row>
    <row r="2">
      <c r="A2" t="inlineStr">
        <is>
          <t>2026-01-04</t>
        </is>
      </c>
      <c r="B2" t="n">
        <v>2025020657</v>
      </c>
      <c r="C2" t="inlineStr">
        <is>
          <t>TBD</t>
        </is>
      </c>
      <c r="D2" t="inlineStr"/>
      <c r="E2" t="inlineStr">
        <is>
          <t>DAL</t>
        </is>
      </c>
      <c r="F2" t="inlineStr">
        <is>
          <t>MTL</t>
        </is>
      </c>
      <c r="G2" t="n">
        <v>1</v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NONE</t>
        </is>
      </c>
      <c r="P2" t="inlineStr"/>
      <c r="Q2" t="inlineStr"/>
      <c r="R2" t="inlineStr"/>
      <c r="S2" t="inlineStr"/>
    </row>
    <row r="3">
      <c r="A3" t="inlineStr">
        <is>
          <t>2026-01-04</t>
        </is>
      </c>
      <c r="B3" t="n">
        <v>2025020657</v>
      </c>
      <c r="C3" t="inlineStr">
        <is>
          <t>TBD</t>
        </is>
      </c>
      <c r="D3" t="inlineStr"/>
      <c r="E3" t="inlineStr">
        <is>
          <t>MTL</t>
        </is>
      </c>
      <c r="F3" t="inlineStr">
        <is>
          <t>DAL</t>
        </is>
      </c>
      <c r="G3" t="n">
        <v>0</v>
      </c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NONE</t>
        </is>
      </c>
      <c r="P3" t="inlineStr"/>
      <c r="Q3" t="inlineStr"/>
      <c r="R3" t="inlineStr"/>
      <c r="S3" t="inlineStr"/>
    </row>
    <row r="4">
      <c r="A4" t="inlineStr">
        <is>
          <t>2026-01-04</t>
        </is>
      </c>
      <c r="B4" t="n">
        <v>2025020658</v>
      </c>
      <c r="C4" t="inlineStr">
        <is>
          <t>TBD</t>
        </is>
      </c>
      <c r="D4" t="inlineStr"/>
      <c r="E4" t="inlineStr">
        <is>
          <t>CBJ</t>
        </is>
      </c>
      <c r="F4" t="inlineStr">
        <is>
          <t>PIT</t>
        </is>
      </c>
      <c r="G4" t="n">
        <v>1</v>
      </c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NONE</t>
        </is>
      </c>
      <c r="P4" t="inlineStr"/>
      <c r="Q4" t="inlineStr"/>
      <c r="R4" t="inlineStr"/>
      <c r="S4" t="inlineStr"/>
    </row>
    <row r="5">
      <c r="A5" t="inlineStr">
        <is>
          <t>2026-01-04</t>
        </is>
      </c>
      <c r="B5" t="n">
        <v>2025020658</v>
      </c>
      <c r="C5" t="inlineStr">
        <is>
          <t>TBD</t>
        </is>
      </c>
      <c r="D5" t="inlineStr"/>
      <c r="E5" t="inlineStr">
        <is>
          <t>PIT</t>
        </is>
      </c>
      <c r="F5" t="inlineStr">
        <is>
          <t>CBJ</t>
        </is>
      </c>
      <c r="G5" t="n">
        <v>0</v>
      </c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NONE</t>
        </is>
      </c>
      <c r="P5" t="inlineStr"/>
      <c r="Q5" t="inlineStr"/>
      <c r="R5" t="inlineStr"/>
      <c r="S5" t="inlineStr"/>
    </row>
    <row r="6">
      <c r="A6" t="inlineStr">
        <is>
          <t>2026-01-04</t>
        </is>
      </c>
      <c r="B6" t="n">
        <v>2025020659</v>
      </c>
      <c r="C6" t="inlineStr">
        <is>
          <t>Tarasov</t>
        </is>
      </c>
      <c r="D6" t="n">
        <v>8480193</v>
      </c>
      <c r="E6" t="inlineStr">
        <is>
          <t>FLA</t>
        </is>
      </c>
      <c r="F6" t="inlineStr">
        <is>
          <t>COL</t>
        </is>
      </c>
      <c r="G6" t="n">
        <v>1</v>
      </c>
      <c r="H6" t="n">
        <v>25.5</v>
      </c>
      <c r="I6" t="n">
        <v>25</v>
      </c>
      <c r="J6" t="n">
        <v>0.4832989275455475</v>
      </c>
      <c r="K6" t="n">
        <v>3.340214490890503</v>
      </c>
      <c r="L6" t="inlineStr">
        <is>
          <t>50-55%</t>
        </is>
      </c>
      <c r="M6" t="inlineStr">
        <is>
          <t>NO BET</t>
        </is>
      </c>
      <c r="N6" t="inlineStr"/>
      <c r="O6" t="inlineStr">
        <is>
          <t>NONE</t>
        </is>
      </c>
      <c r="P6" t="inlineStr"/>
      <c r="Q6" t="inlineStr"/>
      <c r="R6" t="inlineStr"/>
      <c r="S6" t="inlineStr"/>
    </row>
    <row r="7">
      <c r="A7" t="inlineStr">
        <is>
          <t>2026-01-04</t>
        </is>
      </c>
      <c r="B7" t="n">
        <v>2025020659</v>
      </c>
      <c r="C7" t="inlineStr">
        <is>
          <t>TBD</t>
        </is>
      </c>
      <c r="D7" t="n">
        <v>8480193</v>
      </c>
      <c r="E7" t="inlineStr">
        <is>
          <t>COL</t>
        </is>
      </c>
      <c r="F7" t="inlineStr">
        <is>
          <t>FLA</t>
        </is>
      </c>
      <c r="G7" t="n">
        <v>0</v>
      </c>
      <c r="H7" t="inlineStr"/>
      <c r="I7" t="n">
        <v>25</v>
      </c>
      <c r="J7" t="n">
        <v>0.4832989275455475</v>
      </c>
      <c r="K7" t="n">
        <v>3.340214490890503</v>
      </c>
      <c r="L7" t="inlineStr">
        <is>
          <t>50-55%</t>
        </is>
      </c>
      <c r="M7" t="inlineStr">
        <is>
          <t>NO BET</t>
        </is>
      </c>
      <c r="N7" t="inlineStr"/>
      <c r="O7" t="inlineStr">
        <is>
          <t>NONE</t>
        </is>
      </c>
      <c r="P7" t="inlineStr"/>
      <c r="Q7" t="inlineStr"/>
      <c r="R7" t="inlineStr"/>
      <c r="S7" t="inlineStr"/>
    </row>
    <row r="8">
      <c r="A8" t="inlineStr">
        <is>
          <t>2026-01-04</t>
        </is>
      </c>
      <c r="B8" t="n">
        <v>2025020660</v>
      </c>
      <c r="C8" t="inlineStr">
        <is>
          <t>Allen</t>
        </is>
      </c>
      <c r="D8" t="n">
        <v>8474596</v>
      </c>
      <c r="E8" t="inlineStr">
        <is>
          <t>NJD</t>
        </is>
      </c>
      <c r="F8" t="inlineStr">
        <is>
          <t>CAR</t>
        </is>
      </c>
      <c r="G8" t="n">
        <v>1</v>
      </c>
      <c r="H8" t="n">
        <v>25.5</v>
      </c>
      <c r="I8" t="n">
        <v>25</v>
      </c>
      <c r="J8" t="n">
        <v>0.5094840526580811</v>
      </c>
      <c r="K8" t="n">
        <v>1.896810531616211</v>
      </c>
      <c r="L8" t="inlineStr">
        <is>
          <t>50-55%</t>
        </is>
      </c>
      <c r="M8" t="inlineStr">
        <is>
          <t>NO BET</t>
        </is>
      </c>
      <c r="N8" t="inlineStr"/>
      <c r="O8" t="inlineStr">
        <is>
          <t>NONE</t>
        </is>
      </c>
      <c r="P8" t="inlineStr"/>
      <c r="Q8" t="inlineStr"/>
      <c r="R8" t="inlineStr"/>
      <c r="S8" t="inlineStr"/>
    </row>
    <row r="9">
      <c r="A9" t="inlineStr">
        <is>
          <t>2026-01-04</t>
        </is>
      </c>
      <c r="B9" t="n">
        <v>2025020660</v>
      </c>
      <c r="C9" t="inlineStr">
        <is>
          <t>Bussi</t>
        </is>
      </c>
      <c r="D9" t="n">
        <v>8474596</v>
      </c>
      <c r="E9" t="inlineStr">
        <is>
          <t>CAR</t>
        </is>
      </c>
      <c r="F9" t="inlineStr">
        <is>
          <t>NJD</t>
        </is>
      </c>
      <c r="G9" t="n">
        <v>0</v>
      </c>
      <c r="H9" t="n">
        <v>23.5</v>
      </c>
      <c r="I9" t="n">
        <v>25</v>
      </c>
      <c r="J9" t="n">
        <v>0.5094840526580811</v>
      </c>
      <c r="K9" t="n">
        <v>1.896810531616211</v>
      </c>
      <c r="L9" t="inlineStr">
        <is>
          <t>50-55%</t>
        </is>
      </c>
      <c r="M9" t="inlineStr">
        <is>
          <t>NO BET</t>
        </is>
      </c>
      <c r="N9" t="inlineStr"/>
      <c r="O9" t="inlineStr">
        <is>
          <t>NONE</t>
        </is>
      </c>
      <c r="P9" t="inlineStr"/>
      <c r="Q9" t="inlineStr"/>
      <c r="R9" t="inlineStr"/>
      <c r="S9" t="inlineStr"/>
    </row>
    <row r="10">
      <c r="A10" t="inlineStr">
        <is>
          <t>2026-01-04</t>
        </is>
      </c>
      <c r="B10" t="n">
        <v>2025020661</v>
      </c>
      <c r="C10" t="inlineStr">
        <is>
          <t>Soderblom</t>
        </is>
      </c>
      <c r="D10" t="n">
        <v>8482821</v>
      </c>
      <c r="E10" t="inlineStr">
        <is>
          <t>CHI</t>
        </is>
      </c>
      <c r="F10" t="inlineStr">
        <is>
          <t>VGK</t>
        </is>
      </c>
      <c r="G10" t="n">
        <v>1</v>
      </c>
      <c r="H10" t="n">
        <v>25.5</v>
      </c>
      <c r="I10" t="n">
        <v>25</v>
      </c>
      <c r="J10" t="n">
        <v>0.4777129590511322</v>
      </c>
      <c r="K10" t="n">
        <v>4.45740795135498</v>
      </c>
      <c r="L10" t="inlineStr">
        <is>
          <t>50-55%</t>
        </is>
      </c>
      <c r="M10" t="inlineStr">
        <is>
          <t>NO BET</t>
        </is>
      </c>
      <c r="N10" t="inlineStr"/>
      <c r="O10" t="inlineStr">
        <is>
          <t>NONE</t>
        </is>
      </c>
      <c r="P10" t="inlineStr"/>
      <c r="Q10" t="inlineStr"/>
      <c r="R10" t="inlineStr"/>
      <c r="S10" t="inlineStr"/>
    </row>
    <row r="11">
      <c r="A11" t="inlineStr">
        <is>
          <t>2026-01-04</t>
        </is>
      </c>
      <c r="B11" t="n">
        <v>2025020661</v>
      </c>
      <c r="C11" t="inlineStr">
        <is>
          <t>TBD</t>
        </is>
      </c>
      <c r="D11" t="n">
        <v>8482821</v>
      </c>
      <c r="E11" t="inlineStr">
        <is>
          <t>VGK</t>
        </is>
      </c>
      <c r="F11" t="inlineStr">
        <is>
          <t>CHI</t>
        </is>
      </c>
      <c r="G11" t="n">
        <v>0</v>
      </c>
      <c r="H11" t="inlineStr"/>
      <c r="I11" t="n">
        <v>25</v>
      </c>
      <c r="J11" t="n">
        <v>0.4777129590511322</v>
      </c>
      <c r="K11" t="n">
        <v>4.45740795135498</v>
      </c>
      <c r="L11" t="inlineStr">
        <is>
          <t>50-55%</t>
        </is>
      </c>
      <c r="M11" t="inlineStr">
        <is>
          <t>NO BET</t>
        </is>
      </c>
      <c r="N11" t="inlineStr"/>
      <c r="O11" t="inlineStr">
        <is>
          <t>NONE</t>
        </is>
      </c>
      <c r="P11" t="inlineStr"/>
      <c r="Q11" t="inlineStr"/>
      <c r="R11" t="inlineStr"/>
      <c r="S11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E21"/>
  <sheetViews>
    <sheetView workbookViewId="0">
      <selection activeCell="A1" sqref="A1"/>
    </sheetView>
  </sheetViews>
  <sheetFormatPr baseColWidth="8" defaultRowHeight="15"/>
  <cols>
    <col width="13.57642857142857" bestFit="1" customWidth="1" style="11" min="1" max="1"/>
    <col width="13.57642857142857" bestFit="1" customWidth="1" style="11" min="2" max="2"/>
    <col width="13.57642857142857" bestFit="1" customWidth="1" style="11" min="3" max="3"/>
    <col width="13.57642857142857" bestFit="1" customWidth="1" style="11" min="4" max="4"/>
    <col width="13.57642857142857" bestFit="1" customWidth="1" style="11" min="5" max="5"/>
  </cols>
  <sheetData>
    <row r="1" ht="18.75" customHeight="1">
      <c r="A1" s="1" t="inlineStr">
        <is>
          <t>BETTING PERFORMANCE SUMMARY</t>
        </is>
      </c>
      <c r="E1" s="11" t="n"/>
    </row>
    <row r="2" ht="18.75" customHeight="1">
      <c r="A2" s="11" t="n"/>
      <c r="B2" s="11" t="n"/>
      <c r="C2" s="11" t="n"/>
      <c r="D2" s="11" t="n"/>
      <c r="E2" s="11" t="n"/>
    </row>
    <row r="3" ht="18.75" customHeight="1">
      <c r="A3" s="11" t="inlineStr">
        <is>
          <t>Generated:</t>
        </is>
      </c>
      <c r="B3" s="11" t="inlineStr">
        <is>
          <t>2026-01-04 15:13:01</t>
        </is>
      </c>
      <c r="C3" s="11" t="n"/>
      <c r="D3" s="11" t="n"/>
      <c r="E3" s="11" t="n"/>
    </row>
    <row r="4" ht="18.75" customHeight="1">
      <c r="A4" s="11" t="n"/>
      <c r="B4" s="11" t="n"/>
      <c r="C4" s="11" t="n"/>
      <c r="D4" s="11" t="n"/>
      <c r="E4" s="11" t="n"/>
    </row>
    <row r="5" ht="18.75" customHeight="1">
      <c r="A5" s="10" t="inlineStr">
        <is>
          <t>OVERALL PERFORMANCE</t>
        </is>
      </c>
      <c r="B5" s="11" t="n"/>
      <c r="C5" s="11" t="n"/>
      <c r="D5" s="11" t="n"/>
      <c r="E5" s="11" t="n"/>
    </row>
    <row r="6" ht="18.75" customHeight="1">
      <c r="A6" s="11" t="inlineStr">
        <is>
          <t>Total Bets</t>
        </is>
      </c>
      <c r="B6" s="11">
        <f>COUNTIF(Bets!O:O,"OVER")+COUNTIF(Bets!O:O,"UNDER")</f>
        <v/>
      </c>
      <c r="C6" s="11" t="n"/>
      <c r="D6" s="11" t="n"/>
      <c r="E6" s="11" t="n"/>
    </row>
    <row r="7" ht="18.75" customHeight="1">
      <c r="A7" s="11" t="inlineStr">
        <is>
          <t>Wins</t>
        </is>
      </c>
      <c r="B7" s="11">
        <f>COUNTIF(Bets!Q:Q,"WIN")</f>
        <v/>
      </c>
      <c r="C7" s="11" t="n"/>
      <c r="D7" s="11" t="n"/>
      <c r="E7" s="11" t="n"/>
    </row>
    <row r="8" ht="18.75" customHeight="1">
      <c r="A8" s="11" t="inlineStr">
        <is>
          <t>Losses</t>
        </is>
      </c>
      <c r="B8" s="11">
        <f>COUNTIF(Bets!Q:Q,"LOSS")</f>
        <v/>
      </c>
      <c r="C8" s="11" t="n"/>
      <c r="D8" s="11" t="n"/>
      <c r="E8" s="11" t="n"/>
    </row>
    <row r="9" ht="18.75" customHeight="1">
      <c r="A9" s="11" t="inlineStr">
        <is>
          <t>Pushes</t>
        </is>
      </c>
      <c r="B9" s="11">
        <f>COUNTIF(Bets!Q:Q,"PUSH")</f>
        <v/>
      </c>
      <c r="C9" s="11" t="n"/>
      <c r="D9" s="11" t="n"/>
      <c r="E9" s="11" t="n"/>
    </row>
    <row r="10" ht="18.75" customHeight="1">
      <c r="A10" s="11" t="inlineStr">
        <is>
          <t>Win Rate</t>
        </is>
      </c>
      <c r="B10" s="12">
        <f>IF(B6&gt;0,B7/B6,0)</f>
        <v/>
      </c>
      <c r="C10" s="11" t="n"/>
      <c r="D10" s="11" t="n"/>
      <c r="E10" s="11" t="n"/>
    </row>
    <row r="11" ht="18.75" customHeight="1">
      <c r="A11" s="11" t="inlineStr">
        <is>
          <t>Total Profit/Loss</t>
        </is>
      </c>
      <c r="B11" s="11">
        <f>SUM(Bets!R:R)</f>
        <v/>
      </c>
      <c r="C11" s="11" t="n"/>
      <c r="D11" s="11" t="n"/>
      <c r="E11" s="11" t="n"/>
    </row>
    <row r="12" ht="18.75" customHeight="1">
      <c r="A12" s="11" t="inlineStr">
        <is>
          <t>ROI %</t>
        </is>
      </c>
      <c r="B12" s="7">
        <f>IF(B6&gt;0,B11/(B6*110)*100,0)</f>
        <v/>
      </c>
      <c r="C12" s="11" t="n"/>
      <c r="D12" s="11" t="n"/>
      <c r="E12" s="11" t="n"/>
    </row>
    <row r="13" ht="18.75" customHeight="1">
      <c r="A13" s="11" t="n"/>
      <c r="B13" s="11" t="n"/>
      <c r="C13" s="11" t="n"/>
      <c r="D13" s="11" t="n"/>
      <c r="E13" s="11" t="n"/>
    </row>
    <row r="14" ht="18.75" customHeight="1">
      <c r="A14" s="10" t="inlineStr">
        <is>
          <t>PERFORMANCE BY CONFIDENCE LEVEL</t>
        </is>
      </c>
      <c r="B14" s="11" t="n"/>
      <c r="C14" s="11" t="n"/>
      <c r="D14" s="11" t="n"/>
      <c r="E14" s="11" t="n"/>
    </row>
    <row r="15" ht="18.75" customHeight="1">
      <c r="A15" s="4" t="inlineStr">
        <is>
          <t>Confidence</t>
        </is>
      </c>
      <c r="B15" s="4" t="inlineStr">
        <is>
          <t>Bets</t>
        </is>
      </c>
      <c r="C15" s="4" t="inlineStr">
        <is>
          <t>Wins</t>
        </is>
      </c>
      <c r="D15" s="4" t="inlineStr">
        <is>
          <t>Win Rate</t>
        </is>
      </c>
      <c r="E15" s="4" t="inlineStr">
        <is>
          <t>ROI %</t>
        </is>
      </c>
    </row>
    <row r="16" ht="18.75" customHeight="1">
      <c r="A16" s="11" t="inlineStr">
        <is>
          <t>50-55%</t>
        </is>
      </c>
      <c r="B16" s="11" t="n"/>
      <c r="C16" s="11" t="n"/>
      <c r="D16" s="11" t="n"/>
      <c r="E16" s="11" t="n"/>
    </row>
    <row r="17" ht="18.75" customHeight="1">
      <c r="A17" s="11" t="inlineStr">
        <is>
          <t>55-60%</t>
        </is>
      </c>
      <c r="B17" s="11" t="n"/>
      <c r="C17" s="11" t="n"/>
      <c r="D17" s="11" t="n"/>
      <c r="E17" s="11" t="n"/>
    </row>
    <row r="18" ht="18.75" customHeight="1">
      <c r="A18" s="11" t="inlineStr">
        <is>
          <t>60-65%</t>
        </is>
      </c>
      <c r="B18" s="11" t="n"/>
      <c r="C18" s="11" t="n"/>
      <c r="D18" s="11" t="n"/>
      <c r="E18" s="11" t="n"/>
    </row>
    <row r="19" ht="18.75" customHeight="1">
      <c r="A19" s="11" t="inlineStr">
        <is>
          <t>65-70%</t>
        </is>
      </c>
      <c r="B19" s="11" t="n"/>
      <c r="C19" s="11" t="n"/>
      <c r="D19" s="11" t="n"/>
      <c r="E19" s="11" t="n"/>
    </row>
    <row r="20" ht="18.75" customHeight="1">
      <c r="A20" s="11" t="inlineStr">
        <is>
          <t>70-75%</t>
        </is>
      </c>
      <c r="B20" s="11" t="n"/>
      <c r="C20" s="11" t="n"/>
      <c r="D20" s="11" t="n"/>
      <c r="E20" s="11" t="n"/>
    </row>
    <row r="21" ht="18.75" customHeight="1">
      <c r="A21" s="11" t="inlineStr">
        <is>
          <t>75%+</t>
        </is>
      </c>
      <c r="B21" s="11" t="n"/>
      <c r="C21" s="11" t="n"/>
      <c r="D21" s="11" t="n"/>
      <c r="E21" s="11" t="n"/>
    </row>
  </sheetData>
  <mergeCells count="1">
    <mergeCell ref="A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B12"/>
  <sheetViews>
    <sheetView workbookViewId="0">
      <selection activeCell="A1" sqref="A1"/>
    </sheetView>
  </sheetViews>
  <sheetFormatPr baseColWidth="8" defaultRowHeight="15"/>
  <cols>
    <col width="30.005" bestFit="1" customWidth="1" style="11" min="1" max="1"/>
    <col width="20.005" bestFit="1" customWidth="1" style="9" min="2" max="2"/>
  </cols>
  <sheetData>
    <row r="1" ht="18.75" customHeight="1">
      <c r="A1" s="1" t="inlineStr">
        <is>
          <t>BETTING TRACKER SETTINGS</t>
        </is>
      </c>
      <c r="B1" s="9" t="n"/>
    </row>
    <row r="2" ht="18.75" customHeight="1">
      <c r="A2" s="11" t="n"/>
      <c r="B2" s="9" t="n"/>
    </row>
    <row r="3" ht="18.75" customHeight="1">
      <c r="A3" s="4" t="inlineStr">
        <is>
          <t>Setting</t>
        </is>
      </c>
      <c r="B3" s="5" t="inlineStr">
        <is>
          <t>Value</t>
        </is>
      </c>
    </row>
    <row r="4" ht="18.75" customHeight="1">
      <c r="A4" s="11" t="inlineStr">
        <is>
          <t>Default Unit Size</t>
        </is>
      </c>
      <c r="B4" s="6" t="n">
        <v>1</v>
      </c>
    </row>
    <row r="5" ht="18.75" customHeight="1">
      <c r="A5" s="11" t="inlineStr">
        <is>
          <t>Min Confidence to Bet (%)</t>
        </is>
      </c>
      <c r="B5" s="6" t="n">
        <v>55</v>
      </c>
    </row>
    <row r="6" ht="18.75" customHeight="1">
      <c r="A6" s="11" t="inlineStr">
        <is>
          <t>High Confidence Threshold (%)</t>
        </is>
      </c>
      <c r="B6" s="6" t="n">
        <v>65</v>
      </c>
    </row>
    <row r="7" ht="18.75" customHeight="1">
      <c r="A7" s="11" t="n"/>
      <c r="B7" s="9" t="n"/>
    </row>
    <row r="8" ht="18.75" customHeight="1">
      <c r="A8" s="11" t="inlineStr">
        <is>
          <t>Odds Format</t>
        </is>
      </c>
      <c r="B8" s="9" t="n">
        <v>-110</v>
      </c>
    </row>
    <row r="9" ht="18.75" customHeight="1">
      <c r="A9" s="11" t="inlineStr">
        <is>
          <t>Win Payout Multiplier</t>
        </is>
      </c>
      <c r="B9" s="7" t="n">
        <v>0.909</v>
      </c>
    </row>
    <row r="10" ht="18.75" customHeight="1">
      <c r="A10" s="11" t="n"/>
      <c r="B10" s="9" t="n"/>
    </row>
    <row r="11" ht="18.75" customHeight="1">
      <c r="A11" s="11" t="inlineStr">
        <is>
          <t>Model Path</t>
        </is>
      </c>
      <c r="B11" s="9" t="inlineStr">
        <is>
          <t>models/classifier_model.json</t>
        </is>
      </c>
    </row>
    <row r="12" ht="18.75" customHeight="1">
      <c r="A12" s="11" t="inlineStr">
        <is>
          <t>Feature Count</t>
        </is>
      </c>
      <c r="B12" s="6" t="n">
        <v>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2026-01-04T21:17:05Z</dcterms:created>
  <dcterms:modified xmlns:dcterms="http://purl.org/dc/terms/" xmlns:xsi="http://www.w3.org/2001/XMLSchema-instance" xsi:type="dcterms:W3CDTF">2026-01-04T21:20:39Z</dcterms:modified>
</cp:coreProperties>
</file>