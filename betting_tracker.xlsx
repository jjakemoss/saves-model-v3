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Bets"/>
    <sheet r:id="rId2" sheetId="2" name="Summary"/>
    <sheet r:id="rId3" sheetId="3" name="Settings"/>
  </sheets>
  <calcPr fullCalcOnLoad="1"/>
</workbook>
</file>

<file path=xl/sharedStrings.xml><?xml version="1.0" encoding="utf-8"?>
<sst xmlns="http://schemas.openxmlformats.org/spreadsheetml/2006/main" count="104" uniqueCount="68">
  <si>
    <t>BETTING TRACKER SETTINGS</t>
  </si>
  <si>
    <t>Setting</t>
  </si>
  <si>
    <t>Value</t>
  </si>
  <si>
    <t>Default Unit Size</t>
  </si>
  <si>
    <t>Min Confidence to Bet (%)</t>
  </si>
  <si>
    <t>High Confidence Threshold (%)</t>
  </si>
  <si>
    <t>Odds Format</t>
  </si>
  <si>
    <t>Win Payout Multiplier</t>
  </si>
  <si>
    <t>Model Path</t>
  </si>
  <si>
    <t>models/classifier_model.json</t>
  </si>
  <si>
    <t>Feature Count</t>
  </si>
  <si>
    <t>BETTING PERFORMANCE SUMMARY</t>
  </si>
  <si>
    <t>Generated:</t>
  </si>
  <si>
    <t>2026-01-04 16:16:51</t>
  </si>
  <si>
    <t>OVERALL PERFORMANCE</t>
  </si>
  <si>
    <t>Total Bets</t>
  </si>
  <si>
    <t>Wins</t>
  </si>
  <si>
    <t>Losses</t>
  </si>
  <si>
    <t>Pushes</t>
  </si>
  <si>
    <t>Win Rate</t>
  </si>
  <si>
    <t>Total Profit/Loss</t>
  </si>
  <si>
    <t>ROI %</t>
  </si>
  <si>
    <t>PERFORMANCE BY CONFIDENCE LEVEL</t>
  </si>
  <si>
    <t>Confidence</t>
  </si>
  <si>
    <t>Bets</t>
  </si>
  <si>
    <t>50-55%</t>
  </si>
  <si>
    <t>55-60%</t>
  </si>
  <si>
    <t>60-65%</t>
  </si>
  <si>
    <t>65-70%</t>
  </si>
  <si>
    <t>70-75%</t>
  </si>
  <si>
    <t>75%+</t>
  </si>
  <si>
    <t>game_date</t>
  </si>
  <si>
    <t>game_id</t>
  </si>
  <si>
    <t>goalie_name</t>
  </si>
  <si>
    <t>betting_line</t>
  </si>
  <si>
    <t>goalie_id</t>
  </si>
  <si>
    <t>team_abbrev</t>
  </si>
  <si>
    <t>opponent_team</t>
  </si>
  <si>
    <t>is_home</t>
  </si>
  <si>
    <t>predicted_saves</t>
  </si>
  <si>
    <t>prob_over</t>
  </si>
  <si>
    <t>confidence_pct</t>
  </si>
  <si>
    <t>confidence_bucket</t>
  </si>
  <si>
    <t>recommendation</t>
  </si>
  <si>
    <t>bet_amount</t>
  </si>
  <si>
    <t>bet_selection</t>
  </si>
  <si>
    <t>actual_saves</t>
  </si>
  <si>
    <t>result</t>
  </si>
  <si>
    <t>profit_loss</t>
  </si>
  <si>
    <t>notes</t>
  </si>
  <si>
    <t>2026-01-04</t>
  </si>
  <si>
    <t>DAL</t>
  </si>
  <si>
    <t>MTL</t>
  </si>
  <si>
    <t>NONE</t>
  </si>
  <si>
    <t>CBJ</t>
  </si>
  <si>
    <t>PIT</t>
  </si>
  <si>
    <t>Bobrovsky</t>
  </si>
  <si>
    <t>FLA</t>
  </si>
  <si>
    <t>COL</t>
  </si>
  <si>
    <t>Wedgewood</t>
  </si>
  <si>
    <t>Allen</t>
  </si>
  <si>
    <t>NJD</t>
  </si>
  <si>
    <t>CAR</t>
  </si>
  <si>
    <t>NO BET</t>
  </si>
  <si>
    <t>Bussi</t>
  </si>
  <si>
    <t>Soderblom</t>
  </si>
  <si>
    <t>CHI</t>
  </si>
  <si>
    <t>VGK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</si>
</sst>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%"/>
  </numFmts>
  <fonts count="6" x14ac:knownFonts="1">
    <font>
      <sz val="11"/>
      <color theme="1"/>
      <name val="Calibri"/>
      <family val="2"/>
      <scheme val="minor"/>
    </font>
    <font>
      <sz val="14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1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164" applyNumberFormat="1" borderId="1" applyBorder="1" fontId="3" applyFont="1" fillId="0" applyAlignment="1">
      <alignment horizontal="right"/>
    </xf>
    <xf xfId="0" numFmtId="0" borderId="2" applyBorder="1" fontId="5" applyFont="1" fillId="0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4" applyNumberFormat="1" borderId="2" applyBorder="1" fontId="5" applyFont="1" fillId="0" applyAlignment="1">
      <alignment horizontal="center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1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9" width="13.576428571428572" customWidth="1" bestFit="1"/>
    <col min="3" max="3" style="8" width="13.576428571428572" customWidth="1" bestFit="1"/>
    <col min="4" max="4" style="19" width="13.576428571428572" customWidth="1" bestFit="1"/>
    <col min="5" max="5" style="20" width="13.576428571428572" customWidth="1" bestFit="1"/>
    <col min="6" max="6" style="8" width="13.576428571428572" customWidth="1" bestFit="1"/>
    <col min="7" max="7" style="8" width="13.576428571428572" customWidth="1" bestFit="1"/>
    <col min="8" max="8" style="9" width="13.576428571428572" customWidth="1" bestFit="1"/>
    <col min="9" max="9" style="19" width="13.576428571428572" customWidth="1" bestFit="1"/>
    <col min="10" max="10" style="19" width="13.576428571428572" customWidth="1" bestFit="1"/>
    <col min="11" max="11" style="19" width="13.576428571428572" customWidth="1" bestFit="1"/>
    <col min="12" max="12" style="8" width="13.576428571428572" customWidth="1" bestFit="1"/>
    <col min="13" max="13" style="8" width="13.576428571428572" customWidth="1" bestFit="1"/>
    <col min="14" max="14" style="8" width="13.576428571428572" customWidth="1" bestFit="1"/>
    <col min="15" max="15" style="8" width="13.576428571428572" customWidth="1" bestFit="1"/>
    <col min="16" max="16" style="8" width="13.576428571428572" customWidth="1" bestFit="1"/>
    <col min="17" max="17" style="8" width="13.576428571428572" customWidth="1" bestFit="1"/>
    <col min="18" max="18" style="8" width="13.576428571428572" customWidth="1" bestFit="1"/>
    <col min="19" max="19" style="8" width="13.576428571428572" customWidth="1" bestFit="1"/>
  </cols>
  <sheetData>
    <row x14ac:dyDescent="0.25" r="1" customHeight="1" ht="21">
      <c r="A1" s="13" t="s">
        <v>31</v>
      </c>
      <c r="B1" s="14" t="s">
        <v>32</v>
      </c>
      <c r="C1" s="13" t="s">
        <v>33</v>
      </c>
      <c r="D1" s="15" t="s">
        <v>34</v>
      </c>
      <c r="E1" s="14" t="s">
        <v>35</v>
      </c>
      <c r="F1" s="13" t="s">
        <v>36</v>
      </c>
      <c r="G1" s="13" t="s">
        <v>37</v>
      </c>
      <c r="H1" s="14" t="s">
        <v>38</v>
      </c>
      <c r="I1" s="15" t="s">
        <v>39</v>
      </c>
      <c r="J1" s="15" t="s">
        <v>40</v>
      </c>
      <c r="K1" s="15" t="s">
        <v>41</v>
      </c>
      <c r="L1" s="13" t="s">
        <v>42</v>
      </c>
      <c r="M1" s="13" t="s">
        <v>43</v>
      </c>
      <c r="N1" s="13" t="s">
        <v>44</v>
      </c>
      <c r="O1" s="13" t="s">
        <v>45</v>
      </c>
      <c r="P1" s="13" t="s">
        <v>46</v>
      </c>
      <c r="Q1" s="13" t="s">
        <v>47</v>
      </c>
      <c r="R1" s="13" t="s">
        <v>48</v>
      </c>
      <c r="S1" s="13" t="s">
        <v>49</v>
      </c>
    </row>
    <row x14ac:dyDescent="0.25" r="2" customHeight="1" ht="18.75">
      <c r="A2" s="3" t="s">
        <v>50</v>
      </c>
      <c r="B2" s="2">
        <v>2025020657</v>
      </c>
      <c r="C2" s="3"/>
      <c r="D2" s="16"/>
      <c r="E2" s="17"/>
      <c r="F2" s="3" t="s">
        <v>51</v>
      </c>
      <c r="G2" s="3" t="s">
        <v>52</v>
      </c>
      <c r="H2" s="2">
        <v>1</v>
      </c>
      <c r="I2" s="16"/>
      <c r="J2" s="16"/>
      <c r="K2" s="16"/>
      <c r="L2" s="3"/>
      <c r="M2" s="3"/>
      <c r="N2" s="3"/>
      <c r="O2" s="3" t="s">
        <v>53</v>
      </c>
      <c r="P2" s="3"/>
      <c r="Q2" s="3"/>
      <c r="R2" s="3"/>
      <c r="S2" s="3"/>
    </row>
    <row x14ac:dyDescent="0.25" r="3" customHeight="1" ht="18.75">
      <c r="A3" s="3" t="s">
        <v>50</v>
      </c>
      <c r="B3" s="2">
        <v>2025020657</v>
      </c>
      <c r="C3" s="3"/>
      <c r="D3" s="16"/>
      <c r="E3" s="17"/>
      <c r="F3" s="3" t="s">
        <v>52</v>
      </c>
      <c r="G3" s="3" t="s">
        <v>51</v>
      </c>
      <c r="H3" s="2">
        <v>0</v>
      </c>
      <c r="I3" s="16"/>
      <c r="J3" s="16"/>
      <c r="K3" s="16"/>
      <c r="L3" s="3"/>
      <c r="M3" s="3"/>
      <c r="N3" s="3"/>
      <c r="O3" s="3" t="s">
        <v>53</v>
      </c>
      <c r="P3" s="3"/>
      <c r="Q3" s="3"/>
      <c r="R3" s="3"/>
      <c r="S3" s="3"/>
    </row>
    <row x14ac:dyDescent="0.25" r="4" customHeight="1" ht="18.75">
      <c r="A4" s="3" t="s">
        <v>50</v>
      </c>
      <c r="B4" s="2">
        <v>2025020658</v>
      </c>
      <c r="C4" s="3"/>
      <c r="D4" s="16"/>
      <c r="E4" s="17"/>
      <c r="F4" s="3" t="s">
        <v>54</v>
      </c>
      <c r="G4" s="3" t="s">
        <v>55</v>
      </c>
      <c r="H4" s="2">
        <v>1</v>
      </c>
      <c r="I4" s="16"/>
      <c r="J4" s="16"/>
      <c r="K4" s="16"/>
      <c r="L4" s="3"/>
      <c r="M4" s="3"/>
      <c r="N4" s="3"/>
      <c r="O4" s="3" t="s">
        <v>53</v>
      </c>
      <c r="P4" s="3"/>
      <c r="Q4" s="3"/>
      <c r="R4" s="3"/>
      <c r="S4" s="3"/>
    </row>
    <row x14ac:dyDescent="0.25" r="5" customHeight="1" ht="18.75">
      <c r="A5" s="3" t="s">
        <v>50</v>
      </c>
      <c r="B5" s="2">
        <v>2025020658</v>
      </c>
      <c r="C5" s="3"/>
      <c r="D5" s="16"/>
      <c r="E5" s="17"/>
      <c r="F5" s="3" t="s">
        <v>55</v>
      </c>
      <c r="G5" s="3" t="s">
        <v>54</v>
      </c>
      <c r="H5" s="2">
        <v>0</v>
      </c>
      <c r="I5" s="16"/>
      <c r="J5" s="16"/>
      <c r="K5" s="16"/>
      <c r="L5" s="3"/>
      <c r="M5" s="3"/>
      <c r="N5" s="3"/>
      <c r="O5" s="3" t="s">
        <v>53</v>
      </c>
      <c r="P5" s="3"/>
      <c r="Q5" s="3"/>
      <c r="R5" s="3"/>
      <c r="S5" s="3"/>
    </row>
    <row x14ac:dyDescent="0.25" r="6" customHeight="1" ht="18.75">
      <c r="A6" s="3" t="s">
        <v>50</v>
      </c>
      <c r="B6" s="2">
        <v>2025020659</v>
      </c>
      <c r="C6" s="3" t="s">
        <v>56</v>
      </c>
      <c r="D6" s="16">
        <v>25.5</v>
      </c>
      <c r="E6" s="17"/>
      <c r="F6" s="3" t="s">
        <v>57</v>
      </c>
      <c r="G6" s="3" t="s">
        <v>58</v>
      </c>
      <c r="H6" s="2">
        <v>1</v>
      </c>
      <c r="I6" s="16"/>
      <c r="J6" s="16"/>
      <c r="K6" s="16"/>
      <c r="L6" s="3"/>
      <c r="M6" s="3"/>
      <c r="N6" s="3"/>
      <c r="O6" s="3" t="s">
        <v>53</v>
      </c>
      <c r="P6" s="3"/>
      <c r="Q6" s="3"/>
      <c r="R6" s="3"/>
      <c r="S6" s="3"/>
    </row>
    <row x14ac:dyDescent="0.25" r="7" customHeight="1" ht="18.75">
      <c r="A7" s="3" t="s">
        <v>50</v>
      </c>
      <c r="B7" s="2">
        <v>2025020659</v>
      </c>
      <c r="C7" s="3" t="s">
        <v>59</v>
      </c>
      <c r="D7" s="16">
        <v>24.5</v>
      </c>
      <c r="E7" s="17"/>
      <c r="F7" s="3" t="s">
        <v>58</v>
      </c>
      <c r="G7" s="3" t="s">
        <v>57</v>
      </c>
      <c r="H7" s="2">
        <v>0</v>
      </c>
      <c r="I7" s="16"/>
      <c r="J7" s="16"/>
      <c r="K7" s="16"/>
      <c r="L7" s="3"/>
      <c r="M7" s="3"/>
      <c r="N7" s="3"/>
      <c r="O7" s="3" t="s">
        <v>53</v>
      </c>
      <c r="P7" s="3"/>
      <c r="Q7" s="3"/>
      <c r="R7" s="3"/>
      <c r="S7" s="3"/>
    </row>
    <row x14ac:dyDescent="0.25" r="8" customHeight="1" ht="18.75">
      <c r="A8" s="3" t="s">
        <v>50</v>
      </c>
      <c r="B8" s="2">
        <v>2025020660</v>
      </c>
      <c r="C8" s="3" t="s">
        <v>60</v>
      </c>
      <c r="D8" s="18">
        <v>25.5</v>
      </c>
      <c r="E8" s="2">
        <v>8474596</v>
      </c>
      <c r="F8" s="3" t="s">
        <v>61</v>
      </c>
      <c r="G8" s="3" t="s">
        <v>62</v>
      </c>
      <c r="H8" s="2">
        <v>1</v>
      </c>
      <c r="I8" s="18">
        <v>25.5</v>
      </c>
      <c r="J8" s="18">
        <v>0.509484052658081</v>
      </c>
      <c r="K8" s="18">
        <v>1.896810531616211</v>
      </c>
      <c r="L8" s="3" t="s">
        <v>25</v>
      </c>
      <c r="M8" s="3" t="s">
        <v>63</v>
      </c>
      <c r="N8" s="3"/>
      <c r="O8" s="3" t="s">
        <v>53</v>
      </c>
      <c r="P8" s="3"/>
      <c r="Q8" s="3"/>
      <c r="R8" s="3"/>
      <c r="S8" s="3"/>
    </row>
    <row x14ac:dyDescent="0.25" r="9" customHeight="1" ht="18.75">
      <c r="A9" s="3" t="s">
        <v>50</v>
      </c>
      <c r="B9" s="2">
        <v>2025020660</v>
      </c>
      <c r="C9" s="3" t="s">
        <v>64</v>
      </c>
      <c r="D9" s="18">
        <v>23.5</v>
      </c>
      <c r="E9" s="2">
        <v>8483548</v>
      </c>
      <c r="F9" s="3" t="s">
        <v>62</v>
      </c>
      <c r="G9" s="3" t="s">
        <v>61</v>
      </c>
      <c r="H9" s="2">
        <v>0</v>
      </c>
      <c r="I9" s="18">
        <v>23.5</v>
      </c>
      <c r="J9" s="18">
        <v>0.4905944764614105</v>
      </c>
      <c r="K9" s="18">
        <v>1.881104707717896</v>
      </c>
      <c r="L9" s="3" t="s">
        <v>25</v>
      </c>
      <c r="M9" s="3" t="s">
        <v>63</v>
      </c>
      <c r="N9" s="3"/>
      <c r="O9" s="3" t="s">
        <v>53</v>
      </c>
      <c r="P9" s="3"/>
      <c r="Q9" s="3"/>
      <c r="R9" s="3"/>
      <c r="S9" s="3"/>
    </row>
    <row x14ac:dyDescent="0.25" r="10" customHeight="1" ht="18.75">
      <c r="A10" s="3" t="s">
        <v>50</v>
      </c>
      <c r="B10" s="2">
        <v>2025020661</v>
      </c>
      <c r="C10" s="3" t="s">
        <v>65</v>
      </c>
      <c r="D10" s="18">
        <v>25.5</v>
      </c>
      <c r="E10" s="2">
        <v>8482821</v>
      </c>
      <c r="F10" s="3" t="s">
        <v>66</v>
      </c>
      <c r="G10" s="3" t="s">
        <v>67</v>
      </c>
      <c r="H10" s="2">
        <v>1</v>
      </c>
      <c r="I10" s="18">
        <v>25.39999961853027</v>
      </c>
      <c r="J10" s="18">
        <v>0.4777129590511322</v>
      </c>
      <c r="K10" s="18">
        <v>4.45740795135498</v>
      </c>
      <c r="L10" s="3" t="s">
        <v>25</v>
      </c>
      <c r="M10" s="3" t="s">
        <v>63</v>
      </c>
      <c r="N10" s="3"/>
      <c r="O10" s="3" t="s">
        <v>53</v>
      </c>
      <c r="P10" s="3"/>
      <c r="Q10" s="3"/>
      <c r="R10" s="3"/>
      <c r="S10" s="3"/>
    </row>
    <row x14ac:dyDescent="0.25" r="11" customHeight="1" ht="18.75">
      <c r="A11" s="3" t="s">
        <v>50</v>
      </c>
      <c r="B11" s="2">
        <v>2025020661</v>
      </c>
      <c r="C11" s="3"/>
      <c r="D11" s="16"/>
      <c r="E11" s="17"/>
      <c r="F11" s="3" t="s">
        <v>67</v>
      </c>
      <c r="G11" s="3" t="s">
        <v>66</v>
      </c>
      <c r="H11" s="2">
        <v>0</v>
      </c>
      <c r="I11" s="16"/>
      <c r="J11" s="16"/>
      <c r="K11" s="16"/>
      <c r="L11" s="3"/>
      <c r="M11" s="3"/>
      <c r="N11" s="3"/>
      <c r="O11" s="3" t="s">
        <v>53</v>
      </c>
      <c r="P11" s="3"/>
      <c r="Q11" s="3"/>
      <c r="R11" s="3"/>
      <c r="S1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1"/>
  <sheetViews>
    <sheetView workbookViewId="0"/>
  </sheetViews>
  <sheetFormatPr defaultRowHeight="15" x14ac:dyDescent="0.25"/>
  <cols>
    <col min="1" max="1" style="8" width="13.576428571428572" customWidth="1" bestFit="1"/>
    <col min="2" max="2" style="8" width="13.576428571428572" customWidth="1" bestFit="1"/>
    <col min="3" max="3" style="8" width="13.576428571428572" customWidth="1" bestFit="1"/>
    <col min="4" max="4" style="8" width="13.576428571428572" customWidth="1" bestFit="1"/>
    <col min="5" max="5" style="8" width="13.576428571428572" customWidth="1" bestFit="1"/>
  </cols>
  <sheetData>
    <row x14ac:dyDescent="0.25" r="1" customHeight="1" ht="18.75">
      <c r="A1" s="1" t="s">
        <v>11</v>
      </c>
      <c r="B1" s="3"/>
      <c r="C1" s="3"/>
      <c r="D1" s="3"/>
      <c r="E1" s="3"/>
    </row>
    <row x14ac:dyDescent="0.25" r="2" customHeight="1" ht="18.75">
      <c r="A2" s="3"/>
      <c r="B2" s="3"/>
      <c r="C2" s="3"/>
      <c r="D2" s="3"/>
      <c r="E2" s="3"/>
    </row>
    <row x14ac:dyDescent="0.25" r="3" customHeight="1" ht="18.75">
      <c r="A3" s="3" t="s">
        <v>12</v>
      </c>
      <c r="B3" s="3" t="s">
        <v>13</v>
      </c>
      <c r="C3" s="3"/>
      <c r="D3" s="3"/>
      <c r="E3" s="3"/>
    </row>
    <row x14ac:dyDescent="0.25" r="4" customHeight="1" ht="18.75">
      <c r="A4" s="3"/>
      <c r="B4" s="3"/>
      <c r="C4" s="3"/>
      <c r="D4" s="3"/>
      <c r="E4" s="3"/>
    </row>
    <row x14ac:dyDescent="0.25" r="5" customHeight="1" ht="18.75">
      <c r="A5" s="10" t="s">
        <v>14</v>
      </c>
      <c r="B5" s="3"/>
      <c r="C5" s="3"/>
      <c r="D5" s="3"/>
      <c r="E5" s="3"/>
    </row>
    <row x14ac:dyDescent="0.25" r="6" customHeight="1" ht="18.75">
      <c r="A6" s="3" t="s">
        <v>15</v>
      </c>
      <c r="B6" s="11">
        <f>COUNTIF(Bets!O:O,"OVER")+COUNTIF(Bets!O:O,"UNDER")</f>
      </c>
      <c r="C6" s="3"/>
      <c r="D6" s="3"/>
      <c r="E6" s="3"/>
    </row>
    <row x14ac:dyDescent="0.25" r="7" customHeight="1" ht="18.75">
      <c r="A7" s="3" t="s">
        <v>16</v>
      </c>
      <c r="B7" s="11">
        <f>COUNTIF(Bets!Q:Q,"WIN")</f>
      </c>
      <c r="C7" s="3"/>
      <c r="D7" s="3"/>
      <c r="E7" s="3"/>
    </row>
    <row x14ac:dyDescent="0.25" r="8" customHeight="1" ht="18.75">
      <c r="A8" s="3" t="s">
        <v>17</v>
      </c>
      <c r="B8" s="11">
        <f>COUNTIF(Bets!Q:Q,"LOSS")</f>
      </c>
      <c r="C8" s="3"/>
      <c r="D8" s="3"/>
      <c r="E8" s="3"/>
    </row>
    <row x14ac:dyDescent="0.25" r="9" customHeight="1" ht="18.75">
      <c r="A9" s="3" t="s">
        <v>18</v>
      </c>
      <c r="B9" s="11">
        <f>COUNTIF(Bets!Q:Q,"PUSH")</f>
      </c>
      <c r="C9" s="3"/>
      <c r="D9" s="3"/>
      <c r="E9" s="3"/>
    </row>
    <row x14ac:dyDescent="0.25" r="10" customHeight="1" ht="18.75">
      <c r="A10" s="3" t="s">
        <v>19</v>
      </c>
      <c r="B10" s="12">
        <f>IF(B6&gt;0,B7/B6,0)</f>
      </c>
      <c r="C10" s="3"/>
      <c r="D10" s="3"/>
      <c r="E10" s="3"/>
    </row>
    <row x14ac:dyDescent="0.25" r="11" customHeight="1" ht="18.75">
      <c r="A11" s="3" t="s">
        <v>20</v>
      </c>
      <c r="B11" s="11">
        <f>SUM(Bets!R:R)</f>
      </c>
      <c r="C11" s="3"/>
      <c r="D11" s="3"/>
      <c r="E11" s="3"/>
    </row>
    <row x14ac:dyDescent="0.25" r="12" customHeight="1" ht="18.75">
      <c r="A12" s="3" t="s">
        <v>21</v>
      </c>
      <c r="B12" s="7">
        <f>IF(B6&gt;0,B11/(B6*110)*100,0)</f>
      </c>
      <c r="C12" s="3"/>
      <c r="D12" s="3"/>
      <c r="E12" s="3"/>
    </row>
    <row x14ac:dyDescent="0.25" r="13" customHeight="1" ht="18.75">
      <c r="A13" s="3"/>
      <c r="B13" s="3"/>
      <c r="C13" s="3"/>
      <c r="D13" s="3"/>
      <c r="E13" s="3"/>
    </row>
    <row x14ac:dyDescent="0.25" r="14" customHeight="1" ht="18.75">
      <c r="A14" s="10" t="s">
        <v>22</v>
      </c>
      <c r="B14" s="3"/>
      <c r="C14" s="3"/>
      <c r="D14" s="3"/>
      <c r="E14" s="3"/>
    </row>
    <row x14ac:dyDescent="0.25" r="15" customHeight="1" ht="18.75">
      <c r="A15" s="4" t="s">
        <v>23</v>
      </c>
      <c r="B15" s="4" t="s">
        <v>24</v>
      </c>
      <c r="C15" s="4" t="s">
        <v>16</v>
      </c>
      <c r="D15" s="4" t="s">
        <v>19</v>
      </c>
      <c r="E15" s="4" t="s">
        <v>21</v>
      </c>
    </row>
    <row x14ac:dyDescent="0.25" r="16" customHeight="1" ht="18.75">
      <c r="A16" s="3" t="s">
        <v>25</v>
      </c>
      <c r="B16" s="3"/>
      <c r="C16" s="3"/>
      <c r="D16" s="3"/>
      <c r="E16" s="3"/>
    </row>
    <row x14ac:dyDescent="0.25" r="17" customHeight="1" ht="18.75">
      <c r="A17" s="3" t="s">
        <v>26</v>
      </c>
      <c r="B17" s="3"/>
      <c r="C17" s="3"/>
      <c r="D17" s="3"/>
      <c r="E17" s="3"/>
    </row>
    <row x14ac:dyDescent="0.25" r="18" customHeight="1" ht="18.75">
      <c r="A18" s="3" t="s">
        <v>27</v>
      </c>
      <c r="B18" s="3"/>
      <c r="C18" s="3"/>
      <c r="D18" s="3"/>
      <c r="E18" s="3"/>
    </row>
    <row x14ac:dyDescent="0.25" r="19" customHeight="1" ht="18.75">
      <c r="A19" s="3" t="s">
        <v>28</v>
      </c>
      <c r="B19" s="3"/>
      <c r="C19" s="3"/>
      <c r="D19" s="3"/>
      <c r="E19" s="3"/>
    </row>
    <row x14ac:dyDescent="0.25" r="20" customHeight="1" ht="18.75">
      <c r="A20" s="3" t="s">
        <v>29</v>
      </c>
      <c r="B20" s="3"/>
      <c r="C20" s="3"/>
      <c r="D20" s="3"/>
      <c r="E20" s="3"/>
    </row>
    <row x14ac:dyDescent="0.25" r="21" customHeight="1" ht="18.75">
      <c r="A21" s="3" t="s">
        <v>30</v>
      </c>
      <c r="B21" s="3"/>
      <c r="C21" s="3"/>
      <c r="D21" s="3"/>
      <c r="E21" s="3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2"/>
  <sheetViews>
    <sheetView workbookViewId="0"/>
  </sheetViews>
  <sheetFormatPr defaultRowHeight="15" x14ac:dyDescent="0.25"/>
  <cols>
    <col min="1" max="1" style="8" width="30.005" customWidth="1" bestFit="1"/>
    <col min="2" max="2" style="9" width="20.005" customWidth="1" bestFit="1"/>
  </cols>
  <sheetData>
    <row x14ac:dyDescent="0.25" r="1" customHeight="1" ht="18.75">
      <c r="A1" s="1" t="s">
        <v>0</v>
      </c>
      <c r="B1" s="2"/>
    </row>
    <row x14ac:dyDescent="0.25" r="2" customHeight="1" ht="18.75">
      <c r="A2" s="3"/>
      <c r="B2" s="2"/>
    </row>
    <row x14ac:dyDescent="0.25" r="3" customHeight="1" ht="18.75">
      <c r="A3" s="4" t="s">
        <v>1</v>
      </c>
      <c r="B3" s="5" t="s">
        <v>2</v>
      </c>
    </row>
    <row x14ac:dyDescent="0.25" r="4" customHeight="1" ht="18.75">
      <c r="A4" s="3" t="s">
        <v>3</v>
      </c>
      <c r="B4" s="6">
        <v>1</v>
      </c>
    </row>
    <row x14ac:dyDescent="0.25" r="5" customHeight="1" ht="18.75">
      <c r="A5" s="3" t="s">
        <v>4</v>
      </c>
      <c r="B5" s="6">
        <v>55</v>
      </c>
    </row>
    <row x14ac:dyDescent="0.25" r="6" customHeight="1" ht="18.75">
      <c r="A6" s="3" t="s">
        <v>5</v>
      </c>
      <c r="B6" s="6">
        <v>65</v>
      </c>
    </row>
    <row x14ac:dyDescent="0.25" r="7" customHeight="1" ht="18.75">
      <c r="A7" s="3"/>
      <c r="B7" s="2"/>
    </row>
    <row x14ac:dyDescent="0.25" r="8" customHeight="1" ht="18.75">
      <c r="A8" s="3" t="s">
        <v>6</v>
      </c>
      <c r="B8" s="2">
        <v>-110</v>
      </c>
    </row>
    <row x14ac:dyDescent="0.25" r="9" customHeight="1" ht="18.75">
      <c r="A9" s="3" t="s">
        <v>7</v>
      </c>
      <c r="B9" s="7">
        <v>0.909</v>
      </c>
    </row>
    <row x14ac:dyDescent="0.25" r="10" customHeight="1" ht="18.75">
      <c r="A10" s="3"/>
      <c r="B10" s="2"/>
    </row>
    <row x14ac:dyDescent="0.25" r="11" customHeight="1" ht="18.75">
      <c r="A11" s="3" t="s">
        <v>8</v>
      </c>
      <c r="B11" s="2" t="s">
        <v>9</v>
      </c>
    </row>
    <row x14ac:dyDescent="0.25" r="12" customHeight="1" ht="18.75">
      <c r="A12" s="3" t="s">
        <v>10</v>
      </c>
      <c r="B12" s="6">
        <v>89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Bets</vt:lpstr>
      <vt:lpstr>Summary</vt:lpstr>
      <vt:lpstr>Settings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2026-01-04T23:20:18.327Z</dcterms:created>
  <dcterms:modified xsi:type="dcterms:W3CDTF">2026-01-04T23:20:18.327Z</dcterms:modified>
</cp:coreProperties>
</file>